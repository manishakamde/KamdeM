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deM\"/>
    </mc:Choice>
  </mc:AlternateContent>
  <xr:revisionPtr revIDLastSave="0" documentId="13_ncr:1_{A31BEA44-63C1-422C-8B0A-30A07A324DFF}" xr6:coauthVersionLast="47" xr6:coauthVersionMax="47" xr10:uidLastSave="{00000000-0000-0000-0000-000000000000}"/>
  <bookViews>
    <workbookView xWindow="2736" yWindow="5724" windowWidth="17280" windowHeight="6144" activeTab="2" xr2:uid="{321404EF-D61E-4980-9559-49D6CA0C1B07}"/>
  </bookViews>
  <sheets>
    <sheet name="10142026" sheetId="1" r:id="rId1"/>
    <sheet name="10172026" sheetId="4" r:id="rId2"/>
    <sheet name="10192026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E2" i="5" s="1"/>
  <c r="F2" i="5" s="1"/>
  <c r="D9" i="5"/>
  <c r="C9" i="5"/>
  <c r="D5" i="5"/>
  <c r="C5" i="5"/>
  <c r="G22" i="4"/>
  <c r="G23" i="4"/>
  <c r="G24" i="4"/>
  <c r="G15" i="4"/>
  <c r="G16" i="4"/>
  <c r="G17" i="4"/>
  <c r="G18" i="4"/>
  <c r="G19" i="4"/>
  <c r="G20" i="4"/>
  <c r="G21" i="4"/>
  <c r="G14" i="4"/>
  <c r="I21" i="4"/>
  <c r="I20" i="4"/>
  <c r="I19" i="4"/>
  <c r="I18" i="4"/>
  <c r="I16" i="4"/>
  <c r="C25" i="4"/>
  <c r="B25" i="4"/>
  <c r="A25" i="4"/>
  <c r="F15" i="4"/>
  <c r="F16" i="4"/>
  <c r="F17" i="4"/>
  <c r="F18" i="4"/>
  <c r="F19" i="4"/>
  <c r="F20" i="4"/>
  <c r="F21" i="4"/>
  <c r="F22" i="4"/>
  <c r="F23" i="4"/>
  <c r="F24" i="4"/>
  <c r="F14" i="4"/>
  <c r="E17" i="4"/>
  <c r="E18" i="4"/>
  <c r="E19" i="4"/>
  <c r="E20" i="4"/>
  <c r="E21" i="4"/>
  <c r="E22" i="4"/>
  <c r="E23" i="4"/>
  <c r="E24" i="4"/>
  <c r="E16" i="4"/>
  <c r="E15" i="4"/>
  <c r="E14" i="4"/>
  <c r="D15" i="4"/>
  <c r="D16" i="4"/>
  <c r="D17" i="4"/>
  <c r="D18" i="4"/>
  <c r="D19" i="4"/>
  <c r="D20" i="4"/>
  <c r="D21" i="4"/>
  <c r="D22" i="4"/>
  <c r="D23" i="4"/>
  <c r="D24" i="4"/>
  <c r="D14" i="4"/>
  <c r="C15" i="4"/>
  <c r="C16" i="4"/>
  <c r="C17" i="4"/>
  <c r="C18" i="4"/>
  <c r="C19" i="4"/>
  <c r="C20" i="4"/>
  <c r="C21" i="4"/>
  <c r="C22" i="4"/>
  <c r="C23" i="4"/>
  <c r="C24" i="4"/>
  <c r="C14" i="4"/>
  <c r="B16" i="4"/>
  <c r="B17" i="4"/>
  <c r="B18" i="4"/>
  <c r="B19" i="4"/>
  <c r="B20" i="4"/>
  <c r="B21" i="4"/>
  <c r="B22" i="4"/>
  <c r="B23" i="4"/>
  <c r="B24" i="4"/>
  <c r="B15" i="4"/>
  <c r="A16" i="4"/>
  <c r="A17" i="4" s="1"/>
  <c r="A18" i="4" s="1"/>
  <c r="A19" i="4" s="1"/>
  <c r="A20" i="4" s="1"/>
  <c r="A21" i="4" s="1"/>
  <c r="A22" i="4" s="1"/>
  <c r="A23" i="4" s="1"/>
  <c r="A24" i="4" s="1"/>
  <c r="A15" i="4"/>
  <c r="B2" i="4"/>
  <c r="B3" i="4"/>
  <c r="B4" i="4"/>
  <c r="B5" i="4"/>
  <c r="B6" i="4"/>
  <c r="G2" i="4"/>
  <c r="J15" i="1"/>
  <c r="J14" i="1"/>
  <c r="J13" i="1"/>
  <c r="J12" i="1"/>
  <c r="I15" i="1"/>
  <c r="I14" i="1"/>
  <c r="I13" i="1"/>
  <c r="I12" i="1"/>
  <c r="H15" i="1"/>
  <c r="H14" i="1"/>
  <c r="H13" i="1"/>
  <c r="H12" i="1"/>
  <c r="F18" i="1"/>
  <c r="G15" i="1"/>
  <c r="G14" i="1"/>
  <c r="G13" i="1"/>
  <c r="G12" i="1"/>
  <c r="F15" i="1"/>
  <c r="F14" i="1"/>
  <c r="F13" i="1"/>
  <c r="F12" i="1"/>
  <c r="E3" i="1"/>
  <c r="E4" i="1"/>
  <c r="E5" i="1"/>
  <c r="E6" i="1"/>
  <c r="E7" i="1"/>
  <c r="E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<sst xmlns="http://schemas.openxmlformats.org/spreadsheetml/2006/main" count="105" uniqueCount="84">
  <si>
    <t>Designation</t>
  </si>
  <si>
    <t>Location</t>
  </si>
  <si>
    <t>Email_Address</t>
  </si>
  <si>
    <t>Last Name</t>
  </si>
  <si>
    <t>First Name</t>
  </si>
  <si>
    <t>Aman</t>
  </si>
  <si>
    <t>Sharma</t>
  </si>
  <si>
    <t>Raj</t>
  </si>
  <si>
    <t>Kamal</t>
  </si>
  <si>
    <t>Bhushan</t>
  </si>
  <si>
    <t>Chaudhary</t>
  </si>
  <si>
    <t>Sanjay</t>
  </si>
  <si>
    <t>Jha</t>
  </si>
  <si>
    <t>Karan</t>
  </si>
  <si>
    <t>Saxsena</t>
  </si>
  <si>
    <t>Kiran</t>
  </si>
  <si>
    <t>Rajawat</t>
  </si>
  <si>
    <t>Data Engineer</t>
  </si>
  <si>
    <t>Data Analyst</t>
  </si>
  <si>
    <t>Data Scientist</t>
  </si>
  <si>
    <t>Phython Developer</t>
  </si>
  <si>
    <t>Bangalore</t>
  </si>
  <si>
    <t>Hyderabad</t>
  </si>
  <si>
    <t>Gurgaon</t>
  </si>
  <si>
    <t>Noida</t>
  </si>
  <si>
    <t>Salary (Annual)</t>
  </si>
  <si>
    <t>Monthly Salary</t>
  </si>
  <si>
    <t>DA</t>
  </si>
  <si>
    <t>Basic Salary</t>
  </si>
  <si>
    <t>Average Salary</t>
  </si>
  <si>
    <t>Total Salary</t>
  </si>
  <si>
    <t>Maximum Salary</t>
  </si>
  <si>
    <t>Minimum Salary</t>
  </si>
  <si>
    <t>Employees</t>
  </si>
  <si>
    <t>Name</t>
  </si>
  <si>
    <t>Age</t>
  </si>
  <si>
    <t>Marks</t>
  </si>
  <si>
    <t>DOB</t>
  </si>
  <si>
    <t>17-10-2026</t>
  </si>
  <si>
    <t>Ajay</t>
  </si>
  <si>
    <t>Bhavin</t>
  </si>
  <si>
    <t>YOB</t>
  </si>
  <si>
    <t>Present Years</t>
  </si>
  <si>
    <t>Bhavesh</t>
  </si>
  <si>
    <t>Ganesh</t>
  </si>
  <si>
    <t>YOM</t>
  </si>
  <si>
    <t>Present Age</t>
  </si>
  <si>
    <t>Present Months</t>
  </si>
  <si>
    <t>Column10</t>
  </si>
  <si>
    <t>Birth Day</t>
  </si>
  <si>
    <t>Present Day</t>
  </si>
  <si>
    <t>Saturday</t>
  </si>
  <si>
    <t>23/07/2007</t>
  </si>
  <si>
    <t>14/08/2004</t>
  </si>
  <si>
    <t>October</t>
  </si>
  <si>
    <t>17/10-2026</t>
  </si>
  <si>
    <t>17/10/2026</t>
  </si>
  <si>
    <t>Num 1</t>
  </si>
  <si>
    <t>Num2</t>
  </si>
  <si>
    <t>Add</t>
  </si>
  <si>
    <t>Sub</t>
  </si>
  <si>
    <t>Multiplications</t>
  </si>
  <si>
    <t>Division</t>
  </si>
  <si>
    <t>Count of Number 1</t>
  </si>
  <si>
    <t>Average of Num 1</t>
  </si>
  <si>
    <t>Average of Num 2</t>
  </si>
  <si>
    <t>Highest Value of Num 1</t>
  </si>
  <si>
    <t>Lowest Value Num 2</t>
  </si>
  <si>
    <t>Statistics Summary of Numbers</t>
  </si>
  <si>
    <t>Arithmatic Operations</t>
  </si>
  <si>
    <t>Greater Value</t>
  </si>
  <si>
    <t>Principal</t>
  </si>
  <si>
    <t>Rate of Interest</t>
  </si>
  <si>
    <t>Time(Months)</t>
  </si>
  <si>
    <t>Time(Years)</t>
  </si>
  <si>
    <t>S.I</t>
  </si>
  <si>
    <t>Amount</t>
  </si>
  <si>
    <t>Length</t>
  </si>
  <si>
    <t>Breadth</t>
  </si>
  <si>
    <t>Area</t>
  </si>
  <si>
    <t>Perimeter</t>
  </si>
  <si>
    <t>Radius</t>
  </si>
  <si>
    <t>Height</t>
  </si>
  <si>
    <t>Volume of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</si>
</sst>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14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3" borderId="3" xfId="0" applyFill="1" applyBorder="1"/>
    <xf numFmtId="0" fontId="0" fillId="6" borderId="0" xfId="0" applyFill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DDB6C-B92A-4680-814C-EF8239B41D0D}" name="Table2" displayName="Table2" ref="A1:L8" totalsRowShown="0">
  <autoFilter ref="A1:L8" xr:uid="{40CDDB6C-B92A-4680-814C-EF8239B41D0D}"/>
  <tableColumns count="12">
    <tableColumn id="1" xr3:uid="{F81EC8DB-CD96-44CF-A363-E1124298D8F3}" name="Name"/>
    <tableColumn id="2" xr3:uid="{4F30BFC1-3EA6-45D1-8874-92D34193BEDA}" name="Age" dataDxfId="1">
      <calculatedColumnFormula>Table2[[#This Row],[Present Years]]-Table2[[#This Row],[YOB]]</calculatedColumnFormula>
    </tableColumn>
    <tableColumn id="3" xr3:uid="{DAB6B8AB-7795-443A-A330-B345E37A2B59}" name="Marks"/>
    <tableColumn id="4" xr3:uid="{9B65F990-797F-4607-9C76-CF15284A94CE}" name="YOB"/>
    <tableColumn id="5" xr3:uid="{685FAC1C-15BB-435C-9BA3-2875E5E87D24}" name="YOM"/>
    <tableColumn id="6" xr3:uid="{6BD5AE94-D47A-4BD1-B424-6B28F398C4FA}" name="DOB"/>
    <tableColumn id="11" xr3:uid="{52495560-0F3F-4B2A-A913-3830BB329CAE}" name="Birth Day" dataDxfId="0">
      <calculatedColumnFormula>TEXT(Table2[[#This Row],[DOB]],"dddd")</calculatedColumnFormula>
    </tableColumn>
    <tableColumn id="7" xr3:uid="{B0952A8D-9E69-4A5A-BEDF-D4D4C799DEB9}" name="Present Age"/>
    <tableColumn id="8" xr3:uid="{EF641E8E-0124-4DA1-8008-6001356578A7}" name="Present Years"/>
    <tableColumn id="12" xr3:uid="{FEB1C4FB-AF7A-4D61-89AF-FFAB01853A3B}" name="Present Day"/>
    <tableColumn id="9" xr3:uid="{84210644-13A0-42F1-AC64-F76EE41A1780}" name="Present Months"/>
    <tableColumn id="10" xr3:uid="{4CA194AE-DBB4-4C24-9A2A-27479C7EE958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71A2-7C6A-4F8A-8CEC-5FB2765AA28C}">
  <dimension ref="A1:J18"/>
  <sheetViews>
    <sheetView workbookViewId="0">
      <selection activeCell="K12" sqref="K12"/>
    </sheetView>
  </sheetViews>
  <sheetFormatPr defaultRowHeight="14.4" x14ac:dyDescent="0.3"/>
  <cols>
    <col min="1" max="1" width="12.21875" customWidth="1"/>
    <col min="2" max="2" width="13.21875" customWidth="1"/>
    <col min="3" max="3" width="18.109375" customWidth="1"/>
    <col min="4" max="4" width="12.6640625" customWidth="1"/>
    <col min="5" max="5" width="21.6640625" customWidth="1"/>
    <col min="6" max="6" width="26.33203125" customWidth="1"/>
    <col min="7" max="7" width="15.6640625" customWidth="1"/>
    <col min="8" max="8" width="15.21875" customWidth="1"/>
    <col min="9" max="9" width="14.77734375" customWidth="1"/>
    <col min="10" max="10" width="12.5546875" customWidth="1"/>
  </cols>
  <sheetData>
    <row r="1" spans="1:10" x14ac:dyDescent="0.3">
      <c r="A1" s="1" t="s">
        <v>4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10" x14ac:dyDescent="0.3">
      <c r="A2" s="2" t="s">
        <v>5</v>
      </c>
      <c r="B2" s="2" t="s">
        <v>6</v>
      </c>
      <c r="C2" s="2" t="s">
        <v>17</v>
      </c>
      <c r="D2" s="2" t="s">
        <v>21</v>
      </c>
      <c r="E2" s="2" t="str">
        <f>_xlfn.TEXTJOIN(".",FALSE,A2,B2)</f>
        <v>Aman.Sharma</v>
      </c>
      <c r="F2" s="2">
        <v>900000</v>
      </c>
      <c r="G2" s="2">
        <f>F2/12</f>
        <v>75000</v>
      </c>
      <c r="H2" s="2">
        <f>0.1*G2</f>
        <v>7500</v>
      </c>
      <c r="I2" s="2">
        <f>0.6*G2</f>
        <v>45000</v>
      </c>
    </row>
    <row r="3" spans="1:10" x14ac:dyDescent="0.3">
      <c r="A3" s="2" t="s">
        <v>7</v>
      </c>
      <c r="B3" s="2" t="s">
        <v>8</v>
      </c>
      <c r="C3" s="2" t="s">
        <v>18</v>
      </c>
      <c r="D3" s="2" t="s">
        <v>22</v>
      </c>
      <c r="E3" s="2" t="str">
        <f t="shared" ref="E3:E7" si="0">_xlfn.TEXTJOIN(".",FALSE,A3,B3)</f>
        <v>Raj.Kamal</v>
      </c>
      <c r="F3" s="2">
        <v>840000</v>
      </c>
      <c r="G3" s="2">
        <f t="shared" ref="G3:G7" si="1">F3/12</f>
        <v>70000</v>
      </c>
      <c r="H3" s="2">
        <f>0.1*G3</f>
        <v>7000</v>
      </c>
      <c r="I3" s="2">
        <f t="shared" ref="I3:I7" si="2">0.6*G3</f>
        <v>42000</v>
      </c>
    </row>
    <row r="4" spans="1:10" x14ac:dyDescent="0.3">
      <c r="A4" s="2" t="s">
        <v>9</v>
      </c>
      <c r="B4" s="2" t="s">
        <v>10</v>
      </c>
      <c r="C4" s="2" t="s">
        <v>19</v>
      </c>
      <c r="D4" s="2" t="s">
        <v>21</v>
      </c>
      <c r="E4" s="2" t="str">
        <f t="shared" si="0"/>
        <v>Bhushan.Chaudhary</v>
      </c>
      <c r="F4" s="2">
        <v>1200000</v>
      </c>
      <c r="G4" s="2">
        <f t="shared" si="1"/>
        <v>100000</v>
      </c>
      <c r="H4" s="2">
        <f t="shared" ref="H4:H7" si="3">0.1*G4</f>
        <v>10000</v>
      </c>
      <c r="I4" s="2">
        <f t="shared" si="2"/>
        <v>60000</v>
      </c>
    </row>
    <row r="5" spans="1:10" x14ac:dyDescent="0.3">
      <c r="A5" s="2" t="s">
        <v>11</v>
      </c>
      <c r="B5" s="2" t="s">
        <v>12</v>
      </c>
      <c r="C5" s="2" t="s">
        <v>18</v>
      </c>
      <c r="D5" s="2" t="s">
        <v>23</v>
      </c>
      <c r="E5" s="2" t="str">
        <f t="shared" si="0"/>
        <v>Sanjay.Jha</v>
      </c>
      <c r="F5" s="2">
        <v>900000</v>
      </c>
      <c r="G5" s="2">
        <f t="shared" si="1"/>
        <v>75000</v>
      </c>
      <c r="H5" s="2">
        <f t="shared" si="3"/>
        <v>7500</v>
      </c>
      <c r="I5" s="2">
        <f t="shared" si="2"/>
        <v>45000</v>
      </c>
    </row>
    <row r="6" spans="1:10" x14ac:dyDescent="0.3">
      <c r="A6" s="2" t="s">
        <v>13</v>
      </c>
      <c r="B6" s="2" t="s">
        <v>14</v>
      </c>
      <c r="C6" s="2" t="s">
        <v>19</v>
      </c>
      <c r="D6" s="2" t="s">
        <v>24</v>
      </c>
      <c r="E6" s="2" t="str">
        <f t="shared" si="0"/>
        <v>Karan.Saxsena</v>
      </c>
      <c r="F6" s="2">
        <v>1400000</v>
      </c>
      <c r="G6" s="2">
        <f t="shared" si="1"/>
        <v>116666.66666666667</v>
      </c>
      <c r="H6" s="2">
        <f t="shared" si="3"/>
        <v>11666.666666666668</v>
      </c>
      <c r="I6" s="2">
        <f t="shared" si="2"/>
        <v>70000</v>
      </c>
    </row>
    <row r="7" spans="1:10" x14ac:dyDescent="0.3">
      <c r="A7" s="2" t="s">
        <v>15</v>
      </c>
      <c r="B7" s="2" t="s">
        <v>16</v>
      </c>
      <c r="C7" s="2" t="s">
        <v>20</v>
      </c>
      <c r="D7" s="2" t="s">
        <v>22</v>
      </c>
      <c r="E7" s="2" t="str">
        <f t="shared" si="0"/>
        <v>Kiran.Rajawat</v>
      </c>
      <c r="F7" s="2">
        <v>875000</v>
      </c>
      <c r="G7" s="2">
        <f t="shared" si="1"/>
        <v>72916.666666666672</v>
      </c>
      <c r="H7" s="2">
        <f t="shared" si="3"/>
        <v>7291.6666666666679</v>
      </c>
      <c r="I7" s="2">
        <f t="shared" si="2"/>
        <v>43750</v>
      </c>
    </row>
    <row r="11" spans="1:10" x14ac:dyDescent="0.3">
      <c r="E11" s="1" t="s">
        <v>0</v>
      </c>
      <c r="F11" s="1" t="s">
        <v>30</v>
      </c>
      <c r="G11" s="1" t="s">
        <v>29</v>
      </c>
      <c r="H11" s="1" t="s">
        <v>31</v>
      </c>
      <c r="I11" s="3" t="s">
        <v>32</v>
      </c>
      <c r="J11" s="3" t="s">
        <v>33</v>
      </c>
    </row>
    <row r="12" spans="1:10" x14ac:dyDescent="0.3">
      <c r="E12" s="2" t="s">
        <v>17</v>
      </c>
      <c r="F12" s="2">
        <f>SUMIF(C2:C7,"Data Engineer", F2:F7)</f>
        <v>900000</v>
      </c>
      <c r="G12" s="2">
        <f>AVERAGEIF(C2:C7, "Data Engineer",F2:F7)</f>
        <v>900000</v>
      </c>
      <c r="H12" s="2">
        <f>_xlfn.MAXIFS(F2:F7,C2:C7, C2)</f>
        <v>900000</v>
      </c>
      <c r="I12" s="2">
        <f>_xlfn.MINIFS(F2:F7,C2:C7,E12)</f>
        <v>900000</v>
      </c>
      <c r="J12" s="2">
        <f>COUNTIF(C2:C7,C2)</f>
        <v>1</v>
      </c>
    </row>
    <row r="13" spans="1:10" x14ac:dyDescent="0.3">
      <c r="E13" s="2" t="s">
        <v>18</v>
      </c>
      <c r="F13" s="2">
        <f>SUMIF(C2:C7,"Data Analyst", F2:F7)</f>
        <v>1740000</v>
      </c>
      <c r="G13" s="2">
        <f>AVERAGEIF(C2:C7,"Data Analyst",F2:F7)</f>
        <v>870000</v>
      </c>
      <c r="H13" s="2">
        <f>_xlfn.MAXIFS(F2:F7,C2:C7,"Data Analyst")</f>
        <v>900000</v>
      </c>
      <c r="I13" s="2">
        <f>_xlfn.MINIFS(F2:F7,C2:C7,E13)</f>
        <v>840000</v>
      </c>
      <c r="J13" s="2">
        <f>COUNTIF(C2:C7,C3)</f>
        <v>2</v>
      </c>
    </row>
    <row r="14" spans="1:10" x14ac:dyDescent="0.3">
      <c r="E14" s="2" t="s">
        <v>19</v>
      </c>
      <c r="F14" s="2">
        <f>SUMIF(C2:C7,"Data Scientist",F2:F7)</f>
        <v>2600000</v>
      </c>
      <c r="G14" s="2">
        <f>AVERAGEIF(C2:C7,"Data Scientist",F2:F7)</f>
        <v>1300000</v>
      </c>
      <c r="H14" s="2">
        <f>_xlfn.MAXIFS(F2:F7,C2:C7,"Data Scientist")</f>
        <v>1400000</v>
      </c>
      <c r="I14" s="2">
        <f>_xlfn.MINIFS(F2:F7,C2:C7,E14)</f>
        <v>1200000</v>
      </c>
      <c r="J14" s="2">
        <f>COUNTIF(C2:C7,C4)</f>
        <v>2</v>
      </c>
    </row>
    <row r="15" spans="1:10" x14ac:dyDescent="0.3">
      <c r="E15" s="2" t="s">
        <v>20</v>
      </c>
      <c r="F15" s="2">
        <f>SUMIF(C2:C7,"Phython Developer",F2:F7)</f>
        <v>875000</v>
      </c>
      <c r="G15" s="2">
        <f>AVERAGEIF(C2:C7,"Phython Developer",F2:F7)</f>
        <v>875000</v>
      </c>
      <c r="H15" s="2">
        <f>_xlfn.MAXIFS(F2:F7,C2:C7,C7)</f>
        <v>875000</v>
      </c>
      <c r="I15" s="2">
        <f>_xlfn.MINIFS(F2:F7,C2:C7,E15)</f>
        <v>875000</v>
      </c>
      <c r="J15" s="2">
        <f>COUNTIF(C2:C7,C7)</f>
        <v>1</v>
      </c>
    </row>
    <row r="18" spans="6:6" x14ac:dyDescent="0.3">
      <c r="F18">
        <f>MAX(F2:F7)</f>
        <v>1400000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A25D-DB80-47BD-8C2A-EE9841440D6C}">
  <dimension ref="A1:L25"/>
  <sheetViews>
    <sheetView workbookViewId="0">
      <selection activeCell="H13" sqref="H13"/>
    </sheetView>
  </sheetViews>
  <sheetFormatPr defaultRowHeight="14.4" x14ac:dyDescent="0.3"/>
  <cols>
    <col min="1" max="5" width="10.33203125" customWidth="1"/>
    <col min="6" max="7" width="14.44140625" customWidth="1"/>
    <col min="8" max="8" width="18.44140625" customWidth="1"/>
    <col min="9" max="10" width="22.5546875" customWidth="1"/>
    <col min="11" max="11" width="18" customWidth="1"/>
    <col min="12" max="12" width="24.88671875" customWidth="1"/>
  </cols>
  <sheetData>
    <row r="1" spans="1:12" x14ac:dyDescent="0.3">
      <c r="A1" t="s">
        <v>34</v>
      </c>
      <c r="B1" t="s">
        <v>35</v>
      </c>
      <c r="C1" t="s">
        <v>36</v>
      </c>
      <c r="D1" t="s">
        <v>41</v>
      </c>
      <c r="E1" t="s">
        <v>45</v>
      </c>
      <c r="F1" t="s">
        <v>37</v>
      </c>
      <c r="G1" t="s">
        <v>49</v>
      </c>
      <c r="H1" t="s">
        <v>46</v>
      </c>
      <c r="I1" t="s">
        <v>42</v>
      </c>
      <c r="J1" t="s">
        <v>50</v>
      </c>
      <c r="K1" t="s">
        <v>47</v>
      </c>
      <c r="L1" t="s">
        <v>48</v>
      </c>
    </row>
    <row r="2" spans="1:12" x14ac:dyDescent="0.3">
      <c r="A2" t="s">
        <v>5</v>
      </c>
      <c r="B2">
        <f>Table2[[#This Row],[Present Years]]-Table2[[#This Row],[YOB]]</f>
        <v>25</v>
      </c>
      <c r="C2">
        <v>87</v>
      </c>
      <c r="D2">
        <v>2001</v>
      </c>
      <c r="F2" s="4">
        <v>37237</v>
      </c>
      <c r="G2" s="4" t="str">
        <f>TEXT(Table2[[#This Row],[DOB]],"dddd")</f>
        <v>Wednesday</v>
      </c>
      <c r="H2" t="s">
        <v>56</v>
      </c>
      <c r="I2">
        <v>2026</v>
      </c>
      <c r="J2" t="s">
        <v>51</v>
      </c>
      <c r="K2" t="s">
        <v>54</v>
      </c>
    </row>
    <row r="3" spans="1:12" x14ac:dyDescent="0.3">
      <c r="A3" t="s">
        <v>39</v>
      </c>
      <c r="B3">
        <f>Table2[[#This Row],[Present Years]]-Table2[[#This Row],[YOB]]</f>
        <v>31</v>
      </c>
      <c r="C3">
        <v>76</v>
      </c>
      <c r="D3">
        <v>1995</v>
      </c>
      <c r="F3" s="4">
        <v>34946</v>
      </c>
      <c r="G3" s="4"/>
      <c r="H3" t="s">
        <v>55</v>
      </c>
      <c r="I3">
        <v>2026</v>
      </c>
      <c r="J3" t="s">
        <v>51</v>
      </c>
      <c r="K3" t="s">
        <v>54</v>
      </c>
    </row>
    <row r="4" spans="1:12" x14ac:dyDescent="0.3">
      <c r="A4" t="s">
        <v>40</v>
      </c>
      <c r="B4">
        <f>Table2[[#This Row],[Present Years]]-Table2[[#This Row],[YOB]]</f>
        <v>19</v>
      </c>
      <c r="C4">
        <v>74</v>
      </c>
      <c r="D4">
        <v>2007</v>
      </c>
      <c r="F4" t="s">
        <v>52</v>
      </c>
      <c r="G4" s="4"/>
      <c r="H4" t="s">
        <v>56</v>
      </c>
      <c r="I4">
        <v>2026</v>
      </c>
      <c r="J4" t="s">
        <v>51</v>
      </c>
      <c r="K4" t="s">
        <v>54</v>
      </c>
    </row>
    <row r="5" spans="1:12" x14ac:dyDescent="0.3">
      <c r="A5" t="s">
        <v>43</v>
      </c>
      <c r="B5">
        <f>Table2[[#This Row],[Present Years]]-Table2[[#This Row],[YOB]]</f>
        <v>22</v>
      </c>
      <c r="C5">
        <v>98</v>
      </c>
      <c r="D5">
        <v>2004</v>
      </c>
      <c r="F5" t="s">
        <v>53</v>
      </c>
      <c r="G5" s="4"/>
      <c r="H5" t="s">
        <v>38</v>
      </c>
      <c r="I5">
        <v>2026</v>
      </c>
      <c r="J5" t="s">
        <v>51</v>
      </c>
      <c r="K5" t="s">
        <v>54</v>
      </c>
    </row>
    <row r="6" spans="1:12" x14ac:dyDescent="0.3">
      <c r="A6" t="s">
        <v>44</v>
      </c>
      <c r="B6">
        <f>Table2[[#This Row],[Present Years]]-Table2[[#This Row],[YOB]]</f>
        <v>23</v>
      </c>
      <c r="C6">
        <v>73</v>
      </c>
      <c r="D6">
        <v>2003</v>
      </c>
      <c r="F6" s="4">
        <v>37687</v>
      </c>
      <c r="G6" s="4"/>
      <c r="H6" t="s">
        <v>56</v>
      </c>
      <c r="I6">
        <v>2026</v>
      </c>
      <c r="J6" t="s">
        <v>51</v>
      </c>
      <c r="K6" t="s">
        <v>54</v>
      </c>
    </row>
    <row r="7" spans="1:12" x14ac:dyDescent="0.3">
      <c r="G7" s="4"/>
    </row>
    <row r="8" spans="1:12" x14ac:dyDescent="0.3">
      <c r="G8" s="4"/>
    </row>
    <row r="12" spans="1:12" x14ac:dyDescent="0.3">
      <c r="A12" t="s">
        <v>69</v>
      </c>
    </row>
    <row r="13" spans="1:12" x14ac:dyDescent="0.3">
      <c r="A13" s="5" t="s">
        <v>57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8" t="s">
        <v>70</v>
      </c>
    </row>
    <row r="14" spans="1:12" x14ac:dyDescent="0.3">
      <c r="A14" s="2">
        <v>10</v>
      </c>
      <c r="B14" s="2">
        <v>2</v>
      </c>
      <c r="C14" s="2">
        <f>A14+B14</f>
        <v>12</v>
      </c>
      <c r="D14" s="2">
        <f>A14-B14</f>
        <v>8</v>
      </c>
      <c r="E14" s="2">
        <f>A14*B14</f>
        <v>20</v>
      </c>
      <c r="F14" s="2">
        <f>A14/B14</f>
        <v>5</v>
      </c>
      <c r="G14" t="b">
        <f>A14&gt;B14</f>
        <v>1</v>
      </c>
      <c r="H14" s="7" t="s">
        <v>68</v>
      </c>
      <c r="I14" s="7"/>
    </row>
    <row r="15" spans="1:12" x14ac:dyDescent="0.3">
      <c r="A15" s="2">
        <f>A14+2</f>
        <v>12</v>
      </c>
      <c r="B15" s="2">
        <f>B14+1</f>
        <v>3</v>
      </c>
      <c r="C15" s="2">
        <f t="shared" ref="C15:C24" si="0">A15+B15</f>
        <v>15</v>
      </c>
      <c r="D15" s="2">
        <f t="shared" ref="D15:D24" si="1">A15-B15</f>
        <v>9</v>
      </c>
      <c r="E15" s="2">
        <f>PRODUCT(A15:B15)</f>
        <v>36</v>
      </c>
      <c r="F15" s="2">
        <f t="shared" ref="F15:F24" si="2">A15/B15</f>
        <v>4</v>
      </c>
      <c r="G15" t="b">
        <f t="shared" ref="G15:G24" si="3">A15&gt;B15</f>
        <v>1</v>
      </c>
      <c r="H15" s="2"/>
      <c r="I15" s="2"/>
    </row>
    <row r="16" spans="1:12" x14ac:dyDescent="0.3">
      <c r="A16" s="2">
        <f t="shared" ref="A16:A24" si="4">A15+2</f>
        <v>14</v>
      </c>
      <c r="B16" s="2">
        <f t="shared" ref="B16:B24" si="5">B15+1</f>
        <v>4</v>
      </c>
      <c r="C16" s="2">
        <f t="shared" si="0"/>
        <v>18</v>
      </c>
      <c r="D16" s="2">
        <f t="shared" si="1"/>
        <v>10</v>
      </c>
      <c r="E16" s="2">
        <f>PRODUCT(A16:B16)</f>
        <v>56</v>
      </c>
      <c r="F16" s="2">
        <f t="shared" si="2"/>
        <v>3.5</v>
      </c>
      <c r="G16" t="b">
        <f t="shared" si="3"/>
        <v>1</v>
      </c>
      <c r="H16" s="6" t="s">
        <v>63</v>
      </c>
      <c r="I16" s="6">
        <f>COUNT(A14:A24)</f>
        <v>11</v>
      </c>
    </row>
    <row r="17" spans="1:9" x14ac:dyDescent="0.3">
      <c r="A17" s="2">
        <f t="shared" si="4"/>
        <v>16</v>
      </c>
      <c r="B17" s="2">
        <f t="shared" si="5"/>
        <v>5</v>
      </c>
      <c r="C17" s="2">
        <f t="shared" si="0"/>
        <v>21</v>
      </c>
      <c r="D17" s="2">
        <f t="shared" si="1"/>
        <v>11</v>
      </c>
      <c r="E17" s="2">
        <f t="shared" ref="E17:E24" si="6">PRODUCT(A17:B17)</f>
        <v>80</v>
      </c>
      <c r="F17" s="2">
        <f t="shared" si="2"/>
        <v>3.2</v>
      </c>
      <c r="G17" t="b">
        <f t="shared" si="3"/>
        <v>1</v>
      </c>
      <c r="H17" s="6"/>
      <c r="I17" s="6"/>
    </row>
    <row r="18" spans="1:9" x14ac:dyDescent="0.3">
      <c r="A18" s="2">
        <f t="shared" si="4"/>
        <v>18</v>
      </c>
      <c r="B18" s="2">
        <f t="shared" si="5"/>
        <v>6</v>
      </c>
      <c r="C18" s="2">
        <f t="shared" si="0"/>
        <v>24</v>
      </c>
      <c r="D18" s="2">
        <f t="shared" si="1"/>
        <v>12</v>
      </c>
      <c r="E18" s="2">
        <f t="shared" si="6"/>
        <v>108</v>
      </c>
      <c r="F18" s="2">
        <f t="shared" si="2"/>
        <v>3</v>
      </c>
      <c r="G18" t="b">
        <f t="shared" si="3"/>
        <v>1</v>
      </c>
      <c r="H18" s="6" t="s">
        <v>64</v>
      </c>
      <c r="I18" s="6">
        <f>AVERAGE(A14:A24)</f>
        <v>20</v>
      </c>
    </row>
    <row r="19" spans="1:9" x14ac:dyDescent="0.3">
      <c r="A19" s="2">
        <f t="shared" si="4"/>
        <v>20</v>
      </c>
      <c r="B19" s="2">
        <f t="shared" si="5"/>
        <v>7</v>
      </c>
      <c r="C19" s="2">
        <f t="shared" si="0"/>
        <v>27</v>
      </c>
      <c r="D19" s="2">
        <f t="shared" si="1"/>
        <v>13</v>
      </c>
      <c r="E19" s="2">
        <f t="shared" si="6"/>
        <v>140</v>
      </c>
      <c r="F19" s="2">
        <f t="shared" si="2"/>
        <v>2.8571428571428572</v>
      </c>
      <c r="G19" t="b">
        <f t="shared" si="3"/>
        <v>1</v>
      </c>
      <c r="H19" s="6" t="s">
        <v>65</v>
      </c>
      <c r="I19" s="6">
        <f>AVERAGE(B14:B24)</f>
        <v>7</v>
      </c>
    </row>
    <row r="20" spans="1:9" x14ac:dyDescent="0.3">
      <c r="A20" s="2">
        <f t="shared" si="4"/>
        <v>22</v>
      </c>
      <c r="B20" s="2">
        <f t="shared" si="5"/>
        <v>8</v>
      </c>
      <c r="C20" s="2">
        <f t="shared" si="0"/>
        <v>30</v>
      </c>
      <c r="D20" s="2">
        <f t="shared" si="1"/>
        <v>14</v>
      </c>
      <c r="E20" s="2">
        <f t="shared" si="6"/>
        <v>176</v>
      </c>
      <c r="F20" s="2">
        <f t="shared" si="2"/>
        <v>2.75</v>
      </c>
      <c r="G20" t="b">
        <f t="shared" si="3"/>
        <v>1</v>
      </c>
      <c r="H20" s="6" t="s">
        <v>66</v>
      </c>
      <c r="I20" s="6">
        <f>MAX(A14:A24)</f>
        <v>30</v>
      </c>
    </row>
    <row r="21" spans="1:9" x14ac:dyDescent="0.3">
      <c r="A21" s="2">
        <f t="shared" si="4"/>
        <v>24</v>
      </c>
      <c r="B21" s="2">
        <f t="shared" si="5"/>
        <v>9</v>
      </c>
      <c r="C21" s="2">
        <f t="shared" si="0"/>
        <v>33</v>
      </c>
      <c r="D21" s="2">
        <f t="shared" si="1"/>
        <v>15</v>
      </c>
      <c r="E21" s="2">
        <f t="shared" si="6"/>
        <v>216</v>
      </c>
      <c r="F21" s="2">
        <f t="shared" si="2"/>
        <v>2.6666666666666665</v>
      </c>
      <c r="G21" t="b">
        <f t="shared" si="3"/>
        <v>1</v>
      </c>
      <c r="H21" s="6" t="s">
        <v>67</v>
      </c>
      <c r="I21" s="6">
        <f>MIN(B14:B24)</f>
        <v>2</v>
      </c>
    </row>
    <row r="22" spans="1:9" x14ac:dyDescent="0.3">
      <c r="A22" s="2">
        <f t="shared" si="4"/>
        <v>26</v>
      </c>
      <c r="B22" s="2">
        <f t="shared" si="5"/>
        <v>10</v>
      </c>
      <c r="C22" s="2">
        <f t="shared" si="0"/>
        <v>36</v>
      </c>
      <c r="D22" s="2">
        <f t="shared" si="1"/>
        <v>16</v>
      </c>
      <c r="E22" s="2">
        <f t="shared" si="6"/>
        <v>260</v>
      </c>
      <c r="F22" s="2">
        <f t="shared" si="2"/>
        <v>2.6</v>
      </c>
      <c r="G22" t="b">
        <f t="shared" si="3"/>
        <v>1</v>
      </c>
    </row>
    <row r="23" spans="1:9" x14ac:dyDescent="0.3">
      <c r="A23" s="2">
        <f t="shared" si="4"/>
        <v>28</v>
      </c>
      <c r="B23" s="2">
        <f t="shared" si="5"/>
        <v>11</v>
      </c>
      <c r="C23" s="2">
        <f t="shared" si="0"/>
        <v>39</v>
      </c>
      <c r="D23" s="2">
        <f t="shared" si="1"/>
        <v>17</v>
      </c>
      <c r="E23" s="2">
        <f t="shared" si="6"/>
        <v>308</v>
      </c>
      <c r="F23" s="2">
        <f t="shared" si="2"/>
        <v>2.5454545454545454</v>
      </c>
      <c r="G23" t="b">
        <f t="shared" si="3"/>
        <v>1</v>
      </c>
    </row>
    <row r="24" spans="1:9" x14ac:dyDescent="0.3">
      <c r="A24" s="2">
        <f t="shared" si="4"/>
        <v>30</v>
      </c>
      <c r="B24" s="2">
        <f t="shared" si="5"/>
        <v>12</v>
      </c>
      <c r="C24" s="2">
        <f t="shared" si="0"/>
        <v>42</v>
      </c>
      <c r="D24" s="2">
        <f t="shared" si="1"/>
        <v>18</v>
      </c>
      <c r="E24" s="2">
        <f t="shared" si="6"/>
        <v>360</v>
      </c>
      <c r="F24" s="2">
        <f t="shared" si="2"/>
        <v>2.5</v>
      </c>
      <c r="G24" t="b">
        <f t="shared" si="3"/>
        <v>1</v>
      </c>
    </row>
    <row r="25" spans="1:9" x14ac:dyDescent="0.3">
      <c r="A25">
        <f>SUM(A14:A24)</f>
        <v>220</v>
      </c>
      <c r="B25">
        <f>SUM(B14:B24)</f>
        <v>77</v>
      </c>
      <c r="C25">
        <f>SUM(C14:C24)</f>
        <v>297</v>
      </c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CF7A-98DA-4AE3-8DE2-3CC38B9E08A5}">
  <dimension ref="A1:F9"/>
  <sheetViews>
    <sheetView tabSelected="1" workbookViewId="0">
      <selection activeCell="F2" sqref="F2"/>
    </sheetView>
  </sheetViews>
  <sheetFormatPr defaultRowHeight="14.4" x14ac:dyDescent="0.3"/>
  <cols>
    <col min="1" max="1" width="12.88671875" customWidth="1"/>
    <col min="2" max="2" width="21.5546875" customWidth="1"/>
    <col min="3" max="3" width="20.44140625" customWidth="1"/>
    <col min="4" max="4" width="18.6640625" customWidth="1"/>
    <col min="5" max="5" width="10.44140625" customWidth="1"/>
    <col min="6" max="6" width="14.21875" customWidth="1"/>
  </cols>
  <sheetData>
    <row r="1" spans="1:6" x14ac:dyDescent="0.3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</row>
    <row r="2" spans="1:6" x14ac:dyDescent="0.3">
      <c r="A2">
        <v>100000</v>
      </c>
      <c r="B2">
        <v>9.5</v>
      </c>
      <c r="C2">
        <v>24</v>
      </c>
      <c r="D2">
        <f>C2/12</f>
        <v>2</v>
      </c>
      <c r="E2">
        <f>(A2*B2*D2)/100</f>
        <v>19000</v>
      </c>
      <c r="F2">
        <f>A2+E2</f>
        <v>119000</v>
      </c>
    </row>
    <row r="4" spans="1:6" x14ac:dyDescent="0.3">
      <c r="A4" s="9" t="s">
        <v>77</v>
      </c>
      <c r="B4" s="9" t="s">
        <v>78</v>
      </c>
      <c r="C4" s="9" t="s">
        <v>79</v>
      </c>
      <c r="D4" s="9" t="s">
        <v>80</v>
      </c>
    </row>
    <row r="5" spans="1:6" x14ac:dyDescent="0.3">
      <c r="A5">
        <v>12</v>
      </c>
      <c r="B5">
        <v>7</v>
      </c>
      <c r="C5">
        <f>A5*B5</f>
        <v>84</v>
      </c>
      <c r="D5">
        <f>2*(A5+B5)</f>
        <v>38</v>
      </c>
    </row>
    <row r="8" spans="1:6" x14ac:dyDescent="0.3">
      <c r="A8" s="9" t="s">
        <v>81</v>
      </c>
      <c r="B8" s="9" t="s">
        <v>82</v>
      </c>
      <c r="C8" s="9" t="s">
        <v>79</v>
      </c>
      <c r="D8" s="9" t="s">
        <v>83</v>
      </c>
    </row>
    <row r="9" spans="1:6" x14ac:dyDescent="0.3">
      <c r="A9">
        <v>12</v>
      </c>
      <c r="B9">
        <v>50</v>
      </c>
      <c r="C9">
        <f>3.14*A9*A9</f>
        <v>452.15999999999997</v>
      </c>
      <c r="D9">
        <f>C9*B9</f>
        <v>22608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10142026</vt:lpstr>
      <vt:lpstr>10172026</vt:lpstr>
      <vt:lpstr>10192026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Kamde</dc:creator>
  <cp:lastModifiedBy>Manisha Kamde</cp:lastModifiedBy>
  <dcterms:created xsi:type="dcterms:W3CDTF">2026-10-14T02:03:49Z</dcterms:created>
  <dcterms:modified xsi:type="dcterms:W3CDTF">2026-10-19T04:18:45Z</dcterms:modified>
</cp:coreProperties>
</file>